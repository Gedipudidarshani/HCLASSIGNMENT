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Test Plan Summary" sheetId="1" r:id="rId1"/>
    <sheet name="Test C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<sst xmlns="http://schemas.openxmlformats.org/spreadsheetml/2006/main" count="129" uniqueCount="108">
  <si>
    <t>AMAZON E-COMMERCE PLATFORM — TEST PLAN &amp; EXECUTION SUMMARY</t>
  </si>
  <si>
    <t>PROJECT SPECIFICATION DETAILS</t>
  </si>
  <si>
    <t>QA EXECUTION SUMMARY</t>
  </si>
  <si>
    <t>Project</t>
  </si>
  <si>
    <t>Amazon E-Commerce Platform</t>
  </si>
  <si>
    <t>TOTAL TESTS</t>
  </si>
  <si>
    <t>Testing Type</t>
  </si>
  <si>
    <t>Manual &amp; Functional Automated Testing</t>
  </si>
  <si>
    <t>PASSED</t>
  </si>
  <si>
    <t>Objective</t>
  </si>
  <si>
    <t>Verify that target features work as expected according to product specifications</t>
  </si>
  <si>
    <t>FAILED</t>
  </si>
  <si>
    <t>Scope</t>
  </si>
  <si>
    <t>Authentication, Search &amp; Filter, Product Details, Cart, Wishlist, Checkout</t>
  </si>
  <si>
    <t>BLOCKED</t>
  </si>
  <si>
    <t>Testing Approach</t>
  </si>
  <si>
    <t>Functional, UI, Positive &amp; Negative Testing</t>
  </si>
  <si>
    <t>NOT EXECUTED</t>
  </si>
  <si>
    <t>Browser</t>
  </si>
  <si>
    <t>Google Chrome / Multi-browser</t>
  </si>
  <si>
    <t>EXECUTION PROGRESS</t>
  </si>
  <si>
    <t>Device</t>
  </si>
  <si>
    <t>Laptop / Desktop</t>
  </si>
  <si>
    <t>PASS RATE</t>
  </si>
  <si>
    <t>Test Data</t>
  </si>
  <si>
    <t>Valid and Invalid Inputs, Mock Data, Product ASINs</t>
  </si>
  <si>
    <t>STATUS</t>
  </si>
  <si>
    <t>Tester</t>
  </si>
  <si>
    <t>Darshani G / HCL QA Automation Team</t>
  </si>
  <si>
    <t>LAST RUN</t>
  </si>
  <si>
    <t>Current Training Cycle</t>
  </si>
  <si>
    <t>AMAZON E-COMMERCE PLATFORM — TEST CASE MATRIX</t>
  </si>
  <si>
    <t>Test Case ID [1]</t>
  </si>
  <si>
    <t>Module [2]</t>
  </si>
  <si>
    <t>Test Scenario [3]</t>
  </si>
  <si>
    <t>Test Steps [4]</t>
  </si>
  <si>
    <t>Test Data [5]</t>
  </si>
  <si>
    <t>Expected Result [6]</t>
  </si>
  <si>
    <t>Actual Result [7]</t>
  </si>
  <si>
    <t>Status [8]</t>
  </si>
  <si>
    <t>TC001</t>
  </si>
  <si>
    <t>Authentication</t>
  </si>
  <si>
    <t>Verify user login with valid credentials</t>
  </si>
  <si>
    <t>1. Open amazon.in
2. Click 'Sign in'
3. Enter valid email/mobile -&gt; Continue
4. Enter valid password -&gt; Click Sign-In</t>
  </si>
  <si>
    <t>Valid credentials (test_user@example.com)</t>
  </si>
  <si>
    <t>User should be authenticated and header greeting displays 'Deliver to [User]'.</t>
  </si>
  <si>
    <t>Done as expected</t>
  </si>
  <si>
    <t>Passed</t>
  </si>
  <si>
    <t>TC002</t>
  </si>
  <si>
    <t>Verify error messaging for invalid password</t>
  </si>
  <si>
    <t>1. Open amazon.in Sign-In page
2. Enter valid email -&gt; Continue
3. Enter incorrect password
4. Click 'Sign-In'</t>
  </si>
  <si>
    <t>Wrong password (InvalidPass123)</t>
  </si>
  <si>
    <t>Appropriate error alert box appears: 'Your password is incorrect'.</t>
  </si>
  <si>
    <t>Pending</t>
  </si>
  <si>
    <t>Not Executed</t>
  </si>
  <si>
    <t>TC003</t>
  </si>
  <si>
    <t>Search &amp; Filter</t>
  </si>
  <si>
    <t>Search for an active product by keyword</t>
  </si>
  <si>
    <t>1. Focus search bar (#twotabsearchtextbox)
2. Enter product keyword
3. Click search submit button (#nav-search-submit-button)</t>
  </si>
  <si>
    <t>Keyword: 'Laptop'</t>
  </si>
  <si>
    <t>Relevant matching products should display with valid pricing, prime tags, and ratings.</t>
  </si>
  <si>
    <t>TC004</t>
  </si>
  <si>
    <t>Search with empty/blank input</t>
  </si>
  <si>
    <t>1. Focus search bar
2. Leave field blank
3. Click search button</t>
  </si>
  <si>
    <t>Empty</t>
  </si>
  <si>
    <t>System maintains current view or shows search prompt without broken pages.</t>
  </si>
  <si>
    <t>TC005</t>
  </si>
  <si>
    <t>Filter search results by Brand</t>
  </si>
  <si>
    <t>1. Search 'Laptop'
2. Under Brand filter on left sidebar, check 'HP'
3. Verify results</t>
  </si>
  <si>
    <t>Brand: 'HP'</t>
  </si>
  <si>
    <t>Catalog reloads dynamically to show only items matching selected brand.</t>
  </si>
  <si>
    <t>TC006</t>
  </si>
  <si>
    <t>Product Details</t>
  </si>
  <si>
    <t>Open product specifications page</t>
  </si>
  <si>
    <t>1. Search product
2. Click on the first product card title
3. View product details</t>
  </si>
  <si>
    <t>Product SKU / ASIN</t>
  </si>
  <si>
    <t>Product details page opens showing high-res gallery, technical specs, price, and stock status.</t>
  </si>
  <si>
    <t>TC007</t>
  </si>
  <si>
    <t>Cart &amp; Checkout</t>
  </si>
  <si>
    <t>Add in-stock item to cart</t>
  </si>
  <si>
    <t>1. Open product view
2. Click 'Add to Cart' button (#add-to-cart-button)</t>
  </si>
  <si>
    <t>In-stock item</t>
  </si>
  <si>
    <t>Item added successfully; cart subtotal and navbar cart badge count increment by 1.</t>
  </si>
  <si>
    <t>TC008</t>
  </si>
  <si>
    <t>Remove item from cart</t>
  </si>
  <si>
    <t>1. Open Cart view (#nav-cart)
2. Click 'Delete' button on item
3. Verify list</t>
  </si>
  <si>
    <t>Cart with 1 item</t>
  </si>
  <si>
    <t>Item removed from cart and cart display updates to 'Your Amazon Cart is empty'.</t>
  </si>
  <si>
    <t>TC009</t>
  </si>
  <si>
    <t>Wishlist</t>
  </si>
  <si>
    <t>Add item to user wishlist</t>
  </si>
  <si>
    <t>1. Open product details
2. Click 'Add to Wish List' button
3. Select list</t>
  </si>
  <si>
    <t>Available product</t>
  </si>
  <si>
    <t>Confirmation dialog appears stating item added to wishlist; list count updates.</t>
  </si>
  <si>
    <t>TC010</t>
  </si>
  <si>
    <t>Proceed to checkout delivery step</t>
  </si>
  <si>
    <t>1. Open Cart view
2. Click 'Proceed to Buy' button
3. Verify address redirect</t>
  </si>
  <si>
    <t>Cart with 1+ items</t>
  </si>
  <si>
    <t>User is redirected to delivery address selection / checkout review screen.</t>
  </si>
  <si>
    <t>FIELD DEFINITIONS &amp; GUIDELINES</t>
  </si>
  <si>
    <t>[1] Test Case ID: Unique identifier for each test case (e.g., TC001, TC002) used for tracking and bug logging.</t>
  </si>
  <si>
    <t>[2] Module: Functional feature or area being validated (e.g., Authentication, Search &amp; Filter, Product Details, Cart, Wishlist, Checkout).</t>
  </si>
  <si>
    <t>[3] Test Scenario: High-level description of the specific functionality or user behavior under test.</t>
  </si>
  <si>
    <t>[4] Test Steps: Step-by-step user actions executed sequentially in the browser.</t>
  </si>
  <si>
    <t>[5] Test Data: Input values, credentials, search strings, or parameters used during the test execution.</t>
  </si>
  <si>
    <t>[6] Expected Result: Intended and correct system behavior specified by product requirements.</t>
  </si>
  <si>
    <t>[7] Actual Result: Real observed behavior during testing ('Done as expected', 'Issue observed', 'Pending').</t>
  </si>
  <si>
    <t>[8] Status: Current execution verdict: Passed, Failed, Blocked, or Not Executed.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</si>
</sst>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</numFmts>
  <fonts count="32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</font>
    <font>
      <b/>
      <sz val="10"/>
      <color rgb="FFFFFFFF"/>
      <name val="Calibri"/>
      <charset val="134"/>
    </font>
    <font>
      <sz val="9.5"/>
      <name val="Calibri"/>
      <charset val="134"/>
    </font>
    <font>
      <b/>
      <sz val="9.5"/>
      <color rgb="FF155724"/>
      <name val="Calibri"/>
      <charset val="134"/>
    </font>
    <font>
      <b/>
      <sz val="9.5"/>
      <color rgb="FF856404"/>
      <name val="Calibri"/>
      <charset val="134"/>
    </font>
    <font>
      <b/>
      <sz val="10"/>
      <color rgb="FF1B365D"/>
      <name val="Calibri"/>
      <charset val="134"/>
    </font>
    <font>
      <i/>
      <sz val="8.5"/>
      <color rgb="FF555555"/>
      <name val="Calibri"/>
      <charset val="134"/>
    </font>
    <font>
      <b/>
      <sz val="11"/>
      <color rgb="FFFFFFFF"/>
      <name val="Calibri"/>
      <charset val="134"/>
    </font>
    <font>
      <b/>
      <sz val="10"/>
      <color rgb="FF333333"/>
      <name val="Calibri"/>
      <charset val="134"/>
    </font>
    <font>
      <sz val="9.5"/>
      <color rgb="FF111111"/>
      <name val="Calibri"/>
      <charset val="134"/>
    </font>
    <font>
      <b/>
      <sz val="9.5"/>
      <color rgb="FF333333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7" tint="0.6"/>
        <bgColor rgb="FF1B365D"/>
      </patternFill>
    </fill>
    <fill>
      <patternFill patternType="solid">
        <fgColor theme="7" tint="0.6"/>
        <bgColor indexed="64"/>
      </patternFill>
    </fill>
    <fill>
      <patternFill patternType="solid">
        <fgColor theme="7" tint="0.6"/>
        <bgColor rgb="FF2C4D75"/>
      </patternFill>
    </fill>
    <fill>
      <patternFill patternType="solid">
        <fgColor rgb="FFFFFFFF"/>
        <bgColor rgb="FFFFFFFF"/>
      </patternFill>
    </fill>
    <fill>
      <patternFill patternType="solid">
        <fgColor rgb="FFD4EDDA"/>
        <bgColor rgb="FFD4EDDA"/>
      </patternFill>
    </fill>
    <fill>
      <patternFill patternType="solid">
        <fgColor rgb="FFF9FAFC"/>
        <bgColor rgb="FFF9FAFC"/>
      </patternFill>
    </fill>
    <fill>
      <patternFill patternType="solid">
        <fgColor rgb="FFFFF3CD"/>
        <bgColor rgb="FFFFF3CD"/>
      </patternFill>
    </fill>
    <fill>
      <patternFill patternType="solid">
        <fgColor rgb="FFE8EEF5"/>
        <bgColor rgb="FFE8EEF5"/>
      </patternFill>
    </fill>
    <fill>
      <patternFill patternType="solid">
        <fgColor rgb="FFF4F7FA"/>
        <bgColor rgb="FFF4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1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6" applyNumberFormat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4" fillId="14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11" fillId="10" borderId="1" xfId="0" applyFont="1" applyFill="1" applyBorder="1" applyAlignment="1">
      <alignment horizontal="left" vertical="center"/>
    </xf>
    <xf numFmtId="0" fontId="0" fillId="0" borderId="1" xfId="0" applyBorder="1"/>
    <xf numFmtId="0" fontId="6" fillId="5" borderId="1" xfId="0" applyFont="1" applyFill="1" applyBorder="1" applyAlignment="1">
      <alignment horizontal="center" vertical="center"/>
    </xf>
    <xf numFmtId="180" fontId="6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E3" sqref="E3:G3"/>
    </sheetView>
  </sheetViews>
  <sheetFormatPr defaultColWidth="9" defaultRowHeight="14.4" outlineLevelCol="6"/>
  <cols>
    <col min="1" max="1" width="18" customWidth="1"/>
    <col min="2" max="3" width="30" customWidth="1"/>
    <col min="4" max="4" width="4" customWidth="1"/>
    <col min="5" max="5" width="18" customWidth="1"/>
    <col min="6" max="6" width="14" customWidth="1"/>
    <col min="7" max="7" width="18" customWidth="1"/>
  </cols>
  <sheetData>
    <row r="1" ht="36" customHeight="1" spans="1:7">
      <c r="A1" s="1" t="s">
        <v>0</v>
      </c>
      <c r="B1" s="2"/>
      <c r="C1" s="2"/>
      <c r="D1" s="2"/>
      <c r="E1" s="2"/>
      <c r="F1" s="2"/>
      <c r="G1" s="2"/>
    </row>
    <row r="3" ht="24" customHeight="1" spans="1:7">
      <c r="A3" s="13" t="s">
        <v>1</v>
      </c>
      <c r="B3" s="2"/>
      <c r="C3" s="2"/>
      <c r="E3" s="13" t="s">
        <v>2</v>
      </c>
      <c r="F3" s="2"/>
      <c r="G3" s="2"/>
    </row>
    <row r="4" ht="22" customHeight="1" spans="1:7">
      <c r="A4" s="14" t="s">
        <v>3</v>
      </c>
      <c r="B4" s="15" t="s">
        <v>4</v>
      </c>
      <c r="C4" s="16"/>
      <c r="E4" s="17" t="s">
        <v>5</v>
      </c>
      <c r="F4" s="18"/>
      <c r="G4" s="19">
        <f>COUNTA('Test Cases'!A5:A14)</f>
        <v>10</v>
      </c>
    </row>
    <row r="5" ht="22" customHeight="1" spans="1:7">
      <c r="A5" s="14" t="s">
        <v>6</v>
      </c>
      <c r="B5" s="15" t="s">
        <v>7</v>
      </c>
      <c r="C5" s="16"/>
      <c r="E5" s="17" t="s">
        <v>8</v>
      </c>
      <c r="F5" s="18"/>
      <c r="G5" s="19">
        <f>COUNTIF('Test Cases'!H5:H14,"Passed")</f>
        <v>2</v>
      </c>
    </row>
    <row r="6" ht="22" customHeight="1" spans="1:7">
      <c r="A6" s="14" t="s">
        <v>9</v>
      </c>
      <c r="B6" s="15" t="s">
        <v>10</v>
      </c>
      <c r="C6" s="16"/>
      <c r="E6" s="17" t="s">
        <v>11</v>
      </c>
      <c r="F6" s="18"/>
      <c r="G6" s="19">
        <f>COUNTIF('Test Cases'!H5:H14,"Failed")</f>
        <v>0</v>
      </c>
    </row>
    <row r="7" ht="22" customHeight="1" spans="1:7">
      <c r="A7" s="14" t="s">
        <v>12</v>
      </c>
      <c r="B7" s="15" t="s">
        <v>13</v>
      </c>
      <c r="C7" s="16"/>
      <c r="E7" s="17" t="s">
        <v>14</v>
      </c>
      <c r="F7" s="18"/>
      <c r="G7" s="19">
        <f>COUNTIF('Test Cases'!H5:H14,"Blocked")</f>
        <v>0</v>
      </c>
    </row>
    <row r="8" ht="22" customHeight="1" spans="1:7">
      <c r="A8" s="14" t="s">
        <v>15</v>
      </c>
      <c r="B8" s="15" t="s">
        <v>16</v>
      </c>
      <c r="C8" s="16"/>
      <c r="E8" s="17" t="s">
        <v>17</v>
      </c>
      <c r="F8" s="18"/>
      <c r="G8" s="19">
        <f>COUNTIF('Test Cases'!H5:H14,"Not Executed")</f>
        <v>8</v>
      </c>
    </row>
    <row r="9" ht="22" customHeight="1" spans="1:7">
      <c r="A9" s="14" t="s">
        <v>18</v>
      </c>
      <c r="B9" s="15" t="s">
        <v>19</v>
      </c>
      <c r="C9" s="16"/>
      <c r="E9" s="17" t="s">
        <v>20</v>
      </c>
      <c r="F9" s="18"/>
      <c r="G9" s="20">
        <f>IF(G4&gt;0,(G4-G8)/G4,0)</f>
        <v>0.2</v>
      </c>
    </row>
    <row r="10" ht="22" customHeight="1" spans="1:7">
      <c r="A10" s="14" t="s">
        <v>21</v>
      </c>
      <c r="B10" s="15" t="s">
        <v>22</v>
      </c>
      <c r="C10" s="16"/>
      <c r="E10" s="17" t="s">
        <v>23</v>
      </c>
      <c r="F10" s="18"/>
      <c r="G10" s="20">
        <f>IF((G5+G6)&gt;0,G5/(G5+G6),0)</f>
        <v>1</v>
      </c>
    </row>
    <row r="11" ht="22" customHeight="1" spans="1:7">
      <c r="A11" s="14" t="s">
        <v>24</v>
      </c>
      <c r="B11" s="15" t="s">
        <v>25</v>
      </c>
      <c r="C11" s="16"/>
      <c r="E11" s="17" t="s">
        <v>26</v>
      </c>
      <c r="F11" s="18"/>
      <c r="G11" s="19" t="str">
        <f>IF(G9=1,"Completed",IF(G9&gt;0,"In Progress","Not Started"))</f>
        <v>In Progress</v>
      </c>
    </row>
    <row r="12" ht="22" customHeight="1" spans="1:7">
      <c r="A12" s="14" t="s">
        <v>27</v>
      </c>
      <c r="B12" s="15" t="s">
        <v>28</v>
      </c>
      <c r="C12" s="16"/>
      <c r="E12" s="17" t="s">
        <v>29</v>
      </c>
      <c r="F12" s="18"/>
      <c r="G12" s="19" t="s">
        <v>30</v>
      </c>
    </row>
  </sheetData>
  <mergeCells count="21">
    <mergeCell ref="A1:G1"/>
    <mergeCell ref="A3:C3"/>
    <mergeCell ref="E3:G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zoomScale="114" zoomScaleNormal="114" workbookViewId="0">
      <selection activeCell="H4" sqref="H4"/>
    </sheetView>
  </sheetViews>
  <sheetFormatPr defaultColWidth="9" defaultRowHeight="14.4" outlineLevelCol="7"/>
  <cols>
    <col min="1" max="1" width="16" customWidth="1"/>
    <col min="2" max="2" width="18" customWidth="1"/>
    <col min="3" max="3" width="28" customWidth="1"/>
    <col min="4" max="4" width="38" customWidth="1"/>
    <col min="5" max="5" width="28" customWidth="1"/>
    <col min="6" max="6" width="36" customWidth="1"/>
    <col min="7" max="7" width="20" customWidth="1"/>
    <col min="8" max="8" width="18" customWidth="1"/>
  </cols>
  <sheetData>
    <row r="1" ht="36" customHeight="1" spans="1:8">
      <c r="A1" s="1" t="s">
        <v>31</v>
      </c>
      <c r="B1" s="2"/>
      <c r="C1" s="2"/>
      <c r="D1" s="2"/>
      <c r="E1" s="2"/>
      <c r="F1" s="2"/>
      <c r="G1" s="2"/>
      <c r="H1" s="2"/>
    </row>
    <row r="4" ht="28" customHeight="1" spans="1:8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</row>
    <row r="5" ht="42" customHeight="1" spans="1:8">
      <c r="A5" s="4" t="s">
        <v>40</v>
      </c>
      <c r="B5" s="4" t="s">
        <v>41</v>
      </c>
      <c r="C5" s="5" t="s">
        <v>42</v>
      </c>
      <c r="D5" s="5" t="s">
        <v>43</v>
      </c>
      <c r="E5" s="5" t="s">
        <v>44</v>
      </c>
      <c r="F5" s="5" t="s">
        <v>45</v>
      </c>
      <c r="G5" s="6" t="s">
        <v>46</v>
      </c>
      <c r="H5" s="7" t="s">
        <v>47</v>
      </c>
    </row>
    <row r="6" ht="42" customHeight="1" spans="1:8">
      <c r="A6" s="8" t="s">
        <v>48</v>
      </c>
      <c r="B6" s="8" t="s">
        <v>41</v>
      </c>
      <c r="C6" s="9" t="s">
        <v>49</v>
      </c>
      <c r="D6" s="9" t="s">
        <v>50</v>
      </c>
      <c r="E6" s="9" t="s">
        <v>51</v>
      </c>
      <c r="F6" s="9" t="s">
        <v>52</v>
      </c>
      <c r="G6" s="8" t="s">
        <v>53</v>
      </c>
      <c r="H6" s="10" t="s">
        <v>54</v>
      </c>
    </row>
    <row r="7" ht="42" customHeight="1" spans="1:8">
      <c r="A7" s="4" t="s">
        <v>55</v>
      </c>
      <c r="B7" s="4" t="s">
        <v>56</v>
      </c>
      <c r="C7" s="5" t="s">
        <v>57</v>
      </c>
      <c r="D7" s="5" t="s">
        <v>58</v>
      </c>
      <c r="E7" s="5" t="s">
        <v>59</v>
      </c>
      <c r="F7" s="5" t="s">
        <v>60</v>
      </c>
      <c r="G7" s="6" t="s">
        <v>46</v>
      </c>
      <c r="H7" s="7" t="s">
        <v>47</v>
      </c>
    </row>
    <row r="8" ht="42" customHeight="1" spans="1:8">
      <c r="A8" s="8" t="s">
        <v>61</v>
      </c>
      <c r="B8" s="8" t="s">
        <v>56</v>
      </c>
      <c r="C8" s="9" t="s">
        <v>62</v>
      </c>
      <c r="D8" s="9" t="s">
        <v>63</v>
      </c>
      <c r="E8" s="9" t="s">
        <v>64</v>
      </c>
      <c r="F8" s="9" t="s">
        <v>65</v>
      </c>
      <c r="G8" s="8" t="s">
        <v>53</v>
      </c>
      <c r="H8" s="10" t="s">
        <v>54</v>
      </c>
    </row>
    <row r="9" ht="42" customHeight="1" spans="1:8">
      <c r="A9" s="4" t="s">
        <v>66</v>
      </c>
      <c r="B9" s="4" t="s">
        <v>56</v>
      </c>
      <c r="C9" s="5" t="s">
        <v>67</v>
      </c>
      <c r="D9" s="5" t="s">
        <v>68</v>
      </c>
      <c r="E9" s="5" t="s">
        <v>69</v>
      </c>
      <c r="F9" s="5" t="s">
        <v>70</v>
      </c>
      <c r="G9" s="4" t="s">
        <v>53</v>
      </c>
      <c r="H9" s="10" t="s">
        <v>54</v>
      </c>
    </row>
    <row r="10" ht="42" customHeight="1" spans="1:8">
      <c r="A10" s="8" t="s">
        <v>71</v>
      </c>
      <c r="B10" s="8" t="s">
        <v>72</v>
      </c>
      <c r="C10" s="9" t="s">
        <v>73</v>
      </c>
      <c r="D10" s="9" t="s">
        <v>74</v>
      </c>
      <c r="E10" s="9" t="s">
        <v>75</v>
      </c>
      <c r="F10" s="9" t="s">
        <v>76</v>
      </c>
      <c r="G10" s="8" t="s">
        <v>53</v>
      </c>
      <c r="H10" s="10" t="s">
        <v>54</v>
      </c>
    </row>
    <row r="11" ht="42" customHeight="1" spans="1:8">
      <c r="A11" s="4" t="s">
        <v>77</v>
      </c>
      <c r="B11" s="4" t="s">
        <v>78</v>
      </c>
      <c r="C11" s="5" t="s">
        <v>79</v>
      </c>
      <c r="D11" s="5" t="s">
        <v>80</v>
      </c>
      <c r="E11" s="5" t="s">
        <v>81</v>
      </c>
      <c r="F11" s="5" t="s">
        <v>82</v>
      </c>
      <c r="G11" s="4" t="s">
        <v>53</v>
      </c>
      <c r="H11" s="10" t="s">
        <v>54</v>
      </c>
    </row>
    <row r="12" ht="42" customHeight="1" spans="1:8">
      <c r="A12" s="8" t="s">
        <v>83</v>
      </c>
      <c r="B12" s="8" t="s">
        <v>78</v>
      </c>
      <c r="C12" s="9" t="s">
        <v>84</v>
      </c>
      <c r="D12" s="9" t="s">
        <v>85</v>
      </c>
      <c r="E12" s="9" t="s">
        <v>86</v>
      </c>
      <c r="F12" s="9" t="s">
        <v>87</v>
      </c>
      <c r="G12" s="8" t="s">
        <v>53</v>
      </c>
      <c r="H12" s="10" t="s">
        <v>54</v>
      </c>
    </row>
    <row r="13" ht="42" customHeight="1" spans="1:8">
      <c r="A13" s="4" t="s">
        <v>88</v>
      </c>
      <c r="B13" s="4" t="s">
        <v>89</v>
      </c>
      <c r="C13" s="5" t="s">
        <v>90</v>
      </c>
      <c r="D13" s="5" t="s">
        <v>91</v>
      </c>
      <c r="E13" s="5" t="s">
        <v>92</v>
      </c>
      <c r="F13" s="5" t="s">
        <v>93</v>
      </c>
      <c r="G13" s="4" t="s">
        <v>53</v>
      </c>
      <c r="H13" s="10" t="s">
        <v>54</v>
      </c>
    </row>
    <row r="14" ht="42" customHeight="1" spans="1:8">
      <c r="A14" s="8" t="s">
        <v>94</v>
      </c>
      <c r="B14" s="8" t="s">
        <v>78</v>
      </c>
      <c r="C14" s="9" t="s">
        <v>95</v>
      </c>
      <c r="D14" s="9" t="s">
        <v>96</v>
      </c>
      <c r="E14" s="9" t="s">
        <v>97</v>
      </c>
      <c r="F14" s="9" t="s">
        <v>98</v>
      </c>
      <c r="G14" s="8" t="s">
        <v>53</v>
      </c>
      <c r="H14" s="10" t="s">
        <v>54</v>
      </c>
    </row>
    <row r="16" ht="14" customHeight="1"/>
    <row r="17" ht="20" customHeight="1" spans="1:1">
      <c r="A17" s="11" t="s">
        <v>99</v>
      </c>
    </row>
    <row r="18" ht="18" customHeight="1" spans="1:1">
      <c r="A18" s="12" t="s">
        <v>100</v>
      </c>
    </row>
    <row r="19" ht="18" customHeight="1" spans="1:1">
      <c r="A19" s="12" t="s">
        <v>101</v>
      </c>
    </row>
    <row r="20" ht="18" customHeight="1" spans="1:1">
      <c r="A20" s="12" t="s">
        <v>102</v>
      </c>
    </row>
    <row r="21" ht="18" customHeight="1" spans="1:1">
      <c r="A21" s="12" t="s">
        <v>103</v>
      </c>
    </row>
    <row r="22" ht="18" customHeight="1" spans="1:1">
      <c r="A22" s="12" t="s">
        <v>104</v>
      </c>
    </row>
    <row r="23" ht="18" customHeight="1" spans="1:1">
      <c r="A23" s="12" t="s">
        <v>105</v>
      </c>
    </row>
    <row r="24" ht="18" customHeight="1" spans="1:1">
      <c r="A24" s="12" t="s">
        <v>106</v>
      </c>
    </row>
    <row r="25" ht="18" customHeight="1" spans="1:1">
      <c r="A25" s="12" t="s">
        <v>107</v>
      </c>
    </row>
  </sheetData>
  <mergeCells count="9">
    <mergeCell ref="A1:H1"/>
    <mergeCell ref="A18:H18"/>
    <mergeCell ref="A19:H19"/>
    <mergeCell ref="A20:H20"/>
    <mergeCell ref="A21:H21"/>
    <mergeCell ref="A22:H22"/>
    <mergeCell ref="A23:H23"/>
    <mergeCell ref="A24:H24"/>
    <mergeCell ref="A25:H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Plan Summary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2026-09-17T05:50:00Z</dcterms:created>
  <dcterms:modified xsi:type="dcterms:W3CDTF">2026-09-17T06:15:05Z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2A918BA890B8499CA08696FAC5E158A2_12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